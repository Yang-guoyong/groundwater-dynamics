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2023-地下水动力学\实验\Excel表格\"/>
    </mc:Choice>
  </mc:AlternateContent>
  <xr:revisionPtr revIDLastSave="0" documentId="13_ncr:40009_{24B29A47-BDC8-4ECA-8F06-C267524899C7}" xr6:coauthVersionLast="47" xr6:coauthVersionMax="47" xr10:uidLastSave="{00000000-0000-0000-0000-000000000000}"/>
  <bookViews>
    <workbookView xWindow="-110" yWindow="-110" windowWidth="25820" windowHeight="13900" activeTab="1"/>
  </bookViews>
  <sheets>
    <sheet name="承压水井" sheetId="1" r:id="rId1"/>
    <sheet name="潜水井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B7" i="2"/>
  <c r="C7" i="2"/>
  <c r="D7" i="2"/>
  <c r="E7" i="2"/>
  <c r="F7" i="2"/>
  <c r="H7" i="2"/>
  <c r="F8" i="2"/>
  <c r="F9" i="2"/>
  <c r="F10" i="2"/>
  <c r="F11" i="2"/>
  <c r="F12" i="2"/>
  <c r="F13" i="2"/>
  <c r="F14" i="2"/>
  <c r="F15" i="2"/>
  <c r="F16" i="2"/>
  <c r="E8" i="2"/>
  <c r="E9" i="2"/>
  <c r="E10" i="2"/>
  <c r="E11" i="2"/>
  <c r="E12" i="2"/>
  <c r="E13" i="2"/>
  <c r="E14" i="2"/>
  <c r="E15" i="2"/>
  <c r="E16" i="2"/>
  <c r="D8" i="2"/>
  <c r="D9" i="2"/>
  <c r="D10" i="2"/>
  <c r="D11" i="2"/>
  <c r="D12" i="2"/>
  <c r="D13" i="2"/>
  <c r="D14" i="2"/>
  <c r="D15" i="2"/>
  <c r="D16" i="2"/>
  <c r="C8" i="2"/>
  <c r="C9" i="2"/>
  <c r="C10" i="2"/>
  <c r="C11" i="2"/>
  <c r="C12" i="2"/>
  <c r="C13" i="2"/>
  <c r="C14" i="2"/>
  <c r="C15" i="2"/>
  <c r="C16" i="2"/>
  <c r="B8" i="2"/>
  <c r="B9" i="2"/>
  <c r="B10" i="2"/>
  <c r="B11" i="2"/>
  <c r="B12" i="2"/>
  <c r="B13" i="2"/>
  <c r="B14" i="2"/>
  <c r="B15" i="2"/>
  <c r="B16" i="2"/>
  <c r="E8" i="1"/>
  <c r="E9" i="1"/>
  <c r="E10" i="1"/>
  <c r="E11" i="1"/>
  <c r="E12" i="1"/>
  <c r="E13" i="1"/>
  <c r="E14" i="1"/>
  <c r="E15" i="1"/>
  <c r="E16" i="1"/>
  <c r="D8" i="1"/>
  <c r="D9" i="1"/>
  <c r="D10" i="1"/>
  <c r="D11" i="1"/>
  <c r="D12" i="1"/>
  <c r="D13" i="1"/>
  <c r="D14" i="1"/>
  <c r="D15" i="1"/>
  <c r="D16" i="1"/>
  <c r="E7" i="1"/>
  <c r="D7" i="1"/>
  <c r="C8" i="1"/>
  <c r="C9" i="1"/>
  <c r="C10" i="1"/>
  <c r="C11" i="1"/>
  <c r="C12" i="1"/>
  <c r="C13" i="1"/>
  <c r="C14" i="1"/>
  <c r="C15" i="1"/>
  <c r="C16" i="1"/>
  <c r="C7" i="1"/>
  <c r="F7" i="1" s="1"/>
  <c r="B8" i="1"/>
  <c r="B9" i="1"/>
  <c r="B10" i="1"/>
  <c r="B11" i="1"/>
  <c r="B12" i="1"/>
  <c r="B13" i="1"/>
  <c r="B14" i="1"/>
  <c r="B15" i="1"/>
  <c r="B16" i="1"/>
  <c r="B7" i="1"/>
  <c r="G7" i="1"/>
  <c r="H8" i="2" l="1"/>
  <c r="G8" i="2" s="1"/>
  <c r="G8" i="1"/>
  <c r="F8" i="1" l="1"/>
  <c r="G9" i="1" s="1"/>
  <c r="F9" i="1" s="1"/>
  <c r="G10" i="1" s="1"/>
  <c r="F10" i="1" s="1"/>
  <c r="G11" i="1" s="1"/>
  <c r="F11" i="1" l="1"/>
  <c r="G12" i="1" s="1"/>
  <c r="F12" i="1" s="1"/>
  <c r="G13" i="1" s="1"/>
  <c r="F13" i="1" s="1"/>
  <c r="G14" i="1" s="1"/>
  <c r="F14" i="1" s="1"/>
  <c r="G15" i="1" l="1"/>
  <c r="F15" i="1" s="1"/>
  <c r="G16" i="1" l="1"/>
  <c r="F16" i="1" s="1"/>
  <c r="G17" i="1" l="1"/>
  <c r="E17" i="1"/>
  <c r="H9" i="2" l="1"/>
  <c r="G9" i="2" l="1"/>
  <c r="H10" i="2" s="1"/>
  <c r="G10" i="2" s="1"/>
  <c r="H11" i="2" s="1"/>
  <c r="G11" i="2" l="1"/>
  <c r="H12" i="2" s="1"/>
  <c r="G12" i="2" s="1"/>
  <c r="H13" i="2" s="1"/>
  <c r="G13" i="2" s="1"/>
  <c r="H14" i="2" l="1"/>
  <c r="G14" i="2" s="1"/>
  <c r="H15" i="2" l="1"/>
  <c r="G15" i="2" s="1"/>
  <c r="H16" i="2" l="1"/>
  <c r="G16" i="2" s="1"/>
  <c r="H17" i="2" l="1"/>
  <c r="E17" i="2"/>
</calcChain>
</file>

<file path=xl/sharedStrings.xml><?xml version="1.0" encoding="utf-8"?>
<sst xmlns="http://schemas.openxmlformats.org/spreadsheetml/2006/main" count="36" uniqueCount="22">
  <si>
    <t>抽水试验类型</t>
    <phoneticPr fontId="1" type="noConversion"/>
  </si>
  <si>
    <t>采用计算公式</t>
    <phoneticPr fontId="1" type="noConversion"/>
  </si>
  <si>
    <t>抽水试验数据</t>
    <phoneticPr fontId="1" type="noConversion"/>
  </si>
  <si>
    <t>均质无限含水层承压水完整井稳定流抽水</t>
    <phoneticPr fontId="1" type="noConversion"/>
  </si>
  <si>
    <t xml:space="preserve">       </t>
  </si>
  <si>
    <t>采用计算结果</t>
    <phoneticPr fontId="1" type="noConversion"/>
  </si>
  <si>
    <t>含水层水文地质参数计算</t>
    <phoneticPr fontId="1" type="noConversion"/>
  </si>
  <si>
    <t>均质无限含水层潜水完整井稳定流抽水</t>
    <phoneticPr fontId="1" type="noConversion"/>
  </si>
  <si>
    <t>参数计算过程</t>
    <phoneticPr fontId="1" type="noConversion"/>
  </si>
  <si>
    <t>备注</t>
    <phoneticPr fontId="1" type="noConversion"/>
  </si>
  <si>
    <t>初始值</t>
    <phoneticPr fontId="1" type="noConversion"/>
  </si>
  <si>
    <t>降深 s
(m)</t>
    <phoneticPr fontId="1" type="noConversion"/>
  </si>
  <si>
    <t>含水层厚度 M
(m)</t>
    <phoneticPr fontId="1" type="noConversion"/>
  </si>
  <si>
    <t>抽水孔半径 r
(m)</t>
    <phoneticPr fontId="1" type="noConversion"/>
  </si>
  <si>
    <t>抽水影响半径 R
(m)</t>
    <phoneticPr fontId="1" type="noConversion"/>
  </si>
  <si>
    <t>含水层渗透系数 K
(m/d)</t>
    <phoneticPr fontId="1" type="noConversion"/>
  </si>
  <si>
    <r>
      <t>涌水量 Q
(m</t>
    </r>
    <r>
      <rPr>
        <vertAlign val="superscript"/>
        <sz val="11"/>
        <rFont val="宋体"/>
        <family val="3"/>
        <charset val="134"/>
      </rPr>
      <t>3</t>
    </r>
    <r>
      <rPr>
        <sz val="11"/>
        <rFont val="宋体"/>
        <family val="3"/>
        <charset val="134"/>
      </rPr>
      <t>/d)</t>
    </r>
    <phoneticPr fontId="1" type="noConversion"/>
  </si>
  <si>
    <t>含水层渗透系数 K(m/d)：</t>
    <phoneticPr fontId="1" type="noConversion"/>
  </si>
  <si>
    <t>抽水影响半径 R(m)：</t>
    <phoneticPr fontId="1" type="noConversion"/>
  </si>
  <si>
    <r>
      <t>参数</t>
    </r>
    <r>
      <rPr>
        <sz val="12"/>
        <rFont val="微软雅黑"/>
        <family val="2"/>
        <charset val="134"/>
      </rPr>
      <t>计算过程</t>
    </r>
    <phoneticPr fontId="1" type="noConversion"/>
  </si>
  <si>
    <r>
      <t>含水层</t>
    </r>
    <r>
      <rPr>
        <sz val="12"/>
        <rFont val="宋体"/>
        <charset val="134"/>
      </rPr>
      <t>抽水时</t>
    </r>
    <r>
      <rPr>
        <sz val="12"/>
        <rFont val="宋体"/>
        <charset val="134"/>
      </rPr>
      <t xml:space="preserve">厚度 </t>
    </r>
    <r>
      <rPr>
        <sz val="12"/>
        <rFont val="Times New Roman"/>
        <family val="1"/>
      </rPr>
      <t>h
(m)</t>
    </r>
    <phoneticPr fontId="1" type="noConversion"/>
  </si>
  <si>
    <t>含水层自然厚度 H
(m)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</si>
</sst>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0.0000"/>
  </numFmts>
  <fonts count="12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12"/>
      <name val="宋体"/>
      <charset val="134"/>
    </font>
    <font>
      <sz val="12"/>
      <name val="宋体"/>
      <charset val="134"/>
    </font>
    <font>
      <sz val="14"/>
      <name val="微软雅黑"/>
      <family val="2"/>
      <charset val="134"/>
    </font>
    <font>
      <sz val="12"/>
      <name val="微软雅黑"/>
      <family val="2"/>
      <charset val="134"/>
    </font>
    <font>
      <sz val="11"/>
      <name val="微软雅黑"/>
      <family val="2"/>
      <charset val="134"/>
    </font>
    <font>
      <sz val="11"/>
      <name val="宋体"/>
      <family val="3"/>
      <charset val="134"/>
    </font>
    <font>
      <vertAlign val="superscript"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2" xfId="0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7" fillId="0" borderId="7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/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182" fontId="8" fillId="0" borderId="1" xfId="0" applyNumberFormat="1" applyFont="1" applyBorder="1" applyAlignment="1">
      <alignment horizontal="center"/>
    </xf>
    <xf numFmtId="182" fontId="8" fillId="2" borderId="1" xfId="0" applyNumberFormat="1" applyFont="1" applyFill="1" applyBorder="1" applyAlignment="1">
      <alignment horizontal="center"/>
    </xf>
    <xf numFmtId="1" fontId="8" fillId="2" borderId="1" xfId="0" applyNumberFormat="1" applyFont="1" applyFill="1" applyBorder="1" applyAlignment="1">
      <alignment horizontal="center"/>
    </xf>
    <xf numFmtId="2" fontId="8" fillId="2" borderId="4" xfId="0" applyNumberFormat="1" applyFont="1" applyFill="1" applyBorder="1" applyAlignment="1">
      <alignment horizontal="center"/>
    </xf>
    <xf numFmtId="2" fontId="8" fillId="2" borderId="1" xfId="0" applyNumberFormat="1" applyFont="1" applyFill="1" applyBorder="1" applyAlignment="1">
      <alignment horizontal="center"/>
    </xf>
    <xf numFmtId="2" fontId="8" fillId="0" borderId="6" xfId="0" applyNumberFormat="1" applyFont="1" applyBorder="1" applyAlignment="1">
      <alignment horizontal="center"/>
    </xf>
    <xf numFmtId="2" fontId="8" fillId="0" borderId="9" xfId="0" applyNumberFormat="1" applyFont="1" applyBorder="1" applyAlignment="1">
      <alignment horizontal="center"/>
    </xf>
    <xf numFmtId="182" fontId="8" fillId="0" borderId="9" xfId="0" applyNumberFormat="1" applyFont="1" applyBorder="1" applyAlignment="1">
      <alignment horizontal="center"/>
    </xf>
    <xf numFmtId="0" fontId="0" fillId="0" borderId="10" xfId="0" applyBorder="1"/>
    <xf numFmtId="0" fontId="8" fillId="0" borderId="2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0" borderId="2" xfId="0" applyNumberFormat="1" applyFont="1" applyBorder="1" applyAlignment="1">
      <alignment horizontal="center" vertical="center"/>
    </xf>
    <xf numFmtId="0" fontId="8" fillId="0" borderId="2" xfId="0" applyNumberFormat="1" applyFont="1" applyBorder="1"/>
    <xf numFmtId="0" fontId="8" fillId="0" borderId="2" xfId="0" applyFont="1" applyBorder="1"/>
    <xf numFmtId="0" fontId="10" fillId="0" borderId="3" xfId="0" applyFont="1" applyBorder="1" applyAlignment="1">
      <alignment horizontal="right" vertical="center"/>
    </xf>
    <xf numFmtId="182" fontId="11" fillId="0" borderId="4" xfId="0" applyNumberFormat="1" applyFont="1" applyBorder="1" applyAlignment="1">
      <alignment horizontal="left" vertical="center"/>
    </xf>
    <xf numFmtId="2" fontId="10" fillId="0" borderId="3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horizontal="right" vertical="center"/>
    </xf>
    <xf numFmtId="0" fontId="2" fillId="0" borderId="0" xfId="0" applyFont="1" applyAlignment="1"/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/>
    </xf>
    <xf numFmtId="2" fontId="8" fillId="0" borderId="4" xfId="0" applyNumberFormat="1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2" xfId="0" applyBorder="1"/>
    <xf numFmtId="0" fontId="10" fillId="0" borderId="2" xfId="0" applyFont="1" applyBorder="1" applyAlignment="1">
      <alignment horizontal="right" vertical="center"/>
    </xf>
    <xf numFmtId="0" fontId="2" fillId="0" borderId="8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869950</xdr:colOff>
      <xdr:row>3</xdr:row>
      <xdr:rowOff>12700</xdr:rowOff>
    </xdr:from>
    <xdr:to>
      <xdr:col>5</xdr:col>
      <xdr:colOff>932667</xdr:colOff>
      <xdr:row>3</xdr:row>
      <xdr:rowOff>346317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Object 15">
              <a:extLst>
                <a:ext uri="{FF2B5EF4-FFF2-40B4-BE49-F238E27FC236}">
                  <a16:creationId xmlns:a16="http://schemas.microsoft.com/office/drawing/2014/main" id="{3E75E9E4-B074-4628-B96D-B4D6CB3254B7}"/>
                </a:ext>
              </a:extLst>
            </xdr:cNvPr>
            <xdr:cNvSpPr txBox="1"/>
          </xdr:nvSpPr>
          <xdr:spPr>
            <a:xfrm>
              <a:off x="3670300" y="1035050"/>
              <a:ext cx="1974067" cy="333617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altLang="zh-CN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𝐾</m:t>
                  </m:r>
                  <m:r>
                    <a:rPr lang="zh-CN" altLang="en-US" i="1">
                      <a:solidFill>
                        <a:srgbClr val="000000"/>
                      </a:solidFill>
                      <a:latin typeface="+mn-lt"/>
                    </a:rPr>
                    <m:t>=</m:t>
                  </m:r>
                  <m:f>
                    <m:fPr>
                      <m:ctrlPr>
                        <a:rPr lang="en-US" altLang="zh-CN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altLang="zh-CN" b="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𝑄</m:t>
                      </m:r>
                    </m:num>
                    <m:den>
                      <m:r>
                        <a:rPr lang="en-US" altLang="zh-CN" b="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2</m:t>
                      </m:r>
                      <m:r>
                        <a:rPr lang="zh-CN" altLang="en-US" b="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𝜋</m:t>
                      </m:r>
                      <m:r>
                        <a:rPr lang="en-US" altLang="zh-CN" b="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𝑠𝑀</m:t>
                      </m:r>
                    </m:den>
                  </m:f>
                  <m:func>
                    <m:funcPr>
                      <m:ctrlPr>
                        <a:rPr lang="en-US" altLang="zh-CN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lang="en-US" altLang="zh-CN" b="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ln</m:t>
                      </m:r>
                    </m:fName>
                    <m:e>
                      <m:f>
                        <m:fPr>
                          <m:ctrlPr>
                            <a:rPr lang="en-US" altLang="zh-CN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altLang="zh-CN" b="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𝑅</m:t>
                          </m:r>
                        </m:num>
                        <m:den>
                          <m:r>
                            <a:rPr lang="en-US" altLang="zh-CN" b="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𝑟</m:t>
                          </m:r>
                        </m:den>
                      </m:f>
                    </m:e>
                  </m:func>
                </m:oMath>
              </a14:m>
              <a:r>
                <a:rPr lang="zh-CN" altLang="en-US">
                  <a:latin typeface="+mn-lt"/>
                </a:rPr>
                <a:t> </a:t>
              </a:r>
              <a:r>
                <a:rPr lang="en-US" altLang="zh-CN">
                  <a:latin typeface="+mn-lt"/>
                </a:rPr>
                <a:t>,    </a:t>
              </a:r>
              <a14:m>
                <m:oMath xmlns:m="http://schemas.openxmlformats.org/officeDocument/2006/math">
                  <m:r>
                    <a:rPr lang="en-US" altLang="zh-CN" sz="1100" b="0" i="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zh-CN" altLang="zh-CN" sz="1100" i="1">
                      <a:effectLst/>
                      <a:latin typeface="+mn-lt"/>
                      <a:ea typeface="+mn-ea"/>
                      <a:cs typeface="+mn-cs"/>
                    </a:rPr>
                    <m:t>𝑅</m:t>
                  </m:r>
                  <m:r>
                    <a:rPr lang="zh-CN" altLang="zh-CN" sz="1100" i="1">
                      <a:effectLst/>
                      <a:latin typeface="+mn-lt"/>
                      <a:ea typeface="+mn-ea"/>
                      <a:cs typeface="+mn-cs"/>
                    </a:rPr>
                    <m:t>=10</m:t>
                  </m:r>
                  <m:r>
                    <a:rPr lang="en-US" altLang="zh-CN" sz="1100" b="0" i="1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𝑠</m:t>
                  </m:r>
                  <m:rad>
                    <m:radPr>
                      <m:degHide m:val="on"/>
                      <m:ctrlPr>
                        <a:rPr lang="zh-CN" altLang="zh-CN" sz="1100" i="1"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r>
                        <a:rPr lang="zh-CN" altLang="zh-CN" sz="1100" i="1">
                          <a:effectLst/>
                          <a:latin typeface="+mn-lt"/>
                          <a:ea typeface="+mn-ea"/>
                          <a:cs typeface="+mn-cs"/>
                        </a:rPr>
                        <m:t>𝐾</m:t>
                      </m:r>
                    </m:e>
                  </m:rad>
                </m:oMath>
              </a14:m>
              <a:endParaRPr lang="zh-CN" altLang="zh-CN">
                <a:effectLst/>
              </a:endParaRPr>
            </a:p>
          </xdr:txBody>
        </xdr:sp>
      </mc:Choice>
      <mc:Fallback>
        <xdr:sp macro="" textlink="">
          <xdr:nvSpPr>
            <xdr:cNvPr id="4" name="Object 15">
              <a:extLst>
                <a:ext uri="{FF2B5EF4-FFF2-40B4-BE49-F238E27FC236}">
                  <a16:creationId xmlns:a16="http://schemas.microsoft.com/office/drawing/2014/main" id="{3E75E9E4-B074-4628-B96D-B4D6CB3254B7}"/>
                </a:ext>
              </a:extLst>
            </xdr:cNvPr>
            <xdr:cNvSpPr txBox="1"/>
          </xdr:nvSpPr>
          <xdr:spPr>
            <a:xfrm>
              <a:off x="3670300" y="1035050"/>
              <a:ext cx="1974067" cy="333617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CN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𝐾</a:t>
              </a:r>
              <a:r>
                <a:rPr lang="zh-CN" altLang="en-US" i="0">
                  <a:solidFill>
                    <a:srgbClr val="000000"/>
                  </a:solidFill>
                  <a:latin typeface="+mn-lt"/>
                </a:rPr>
                <a:t>=</a:t>
              </a:r>
              <a:r>
                <a:rPr lang="en-US" altLang="zh-CN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𝑄/2</a:t>
              </a:r>
              <a:r>
                <a:rPr lang="zh-CN" altLang="en-US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𝜋</a:t>
              </a:r>
              <a:r>
                <a:rPr lang="en-US" altLang="zh-CN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𝑠𝑀  ln⁡〖𝑅/𝑟〗</a:t>
              </a:r>
              <a:r>
                <a:rPr lang="zh-CN" altLang="en-US">
                  <a:latin typeface="+mn-lt"/>
                </a:rPr>
                <a:t> </a:t>
              </a:r>
              <a:r>
                <a:rPr lang="en-US" altLang="zh-CN">
                  <a:latin typeface="+mn-lt"/>
                </a:rPr>
                <a:t>,    </a:t>
              </a:r>
              <a:r>
                <a:rPr lang="en-US" altLang="zh-CN" sz="1100" b="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zh-CN" altLang="zh-CN" sz="1100" i="0">
                  <a:effectLst/>
                  <a:latin typeface="+mn-lt"/>
                  <a:ea typeface="+mn-ea"/>
                  <a:cs typeface="+mn-cs"/>
                </a:rPr>
                <a:t>𝑅=10</a:t>
              </a:r>
              <a:r>
                <a:rPr lang="en-US" altLang="zh-CN" sz="1100" b="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𝑠</a:t>
              </a:r>
              <a:r>
                <a:rPr lang="zh-CN" altLang="zh-CN" sz="1100" i="0">
                  <a:effectLst/>
                  <a:latin typeface="+mn-lt"/>
                  <a:ea typeface="+mn-ea"/>
                  <a:cs typeface="+mn-cs"/>
                </a:rPr>
                <a:t>√𝐾</a:t>
              </a:r>
              <a:endParaRPr lang="zh-CN" altLang="zh-CN">
                <a:effectLst/>
              </a:endParaRP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400050</xdr:colOff>
      <xdr:row>3</xdr:row>
      <xdr:rowOff>25400</xdr:rowOff>
    </xdr:from>
    <xdr:to>
      <xdr:col>6</xdr:col>
      <xdr:colOff>129496</xdr:colOff>
      <xdr:row>3</xdr:row>
      <xdr:rowOff>380882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Object 15">
              <a:extLst>
                <a:ext uri="{FF2B5EF4-FFF2-40B4-BE49-F238E27FC236}">
                  <a16:creationId xmlns:a16="http://schemas.microsoft.com/office/drawing/2014/main" id="{FC2B50D1-2005-439C-9C3F-8ADB52EE1E9A}"/>
                </a:ext>
              </a:extLst>
            </xdr:cNvPr>
            <xdr:cNvSpPr txBox="1"/>
          </xdr:nvSpPr>
          <xdr:spPr>
            <a:xfrm>
              <a:off x="4464050" y="2800350"/>
              <a:ext cx="2142446" cy="35548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altLang="zh-CN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𝐾</m:t>
                  </m:r>
                  <m:r>
                    <a:rPr lang="zh-CN" altLang="en-US" i="1">
                      <a:solidFill>
                        <a:srgbClr val="000000"/>
                      </a:solidFill>
                      <a:latin typeface="+mn-lt"/>
                    </a:rPr>
                    <m:t>=</m:t>
                  </m:r>
                  <m:f>
                    <m:fPr>
                      <m:ctrlPr>
                        <a:rPr lang="en-US" altLang="zh-CN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altLang="zh-CN" b="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𝑄</m:t>
                      </m:r>
                    </m:num>
                    <m:den>
                      <m:r>
                        <a:rPr lang="zh-CN" altLang="en-US" b="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𝜋</m:t>
                      </m:r>
                      <m:r>
                        <a:rPr lang="en-US" altLang="zh-CN" b="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(</m:t>
                      </m:r>
                      <m:sSup>
                        <m:sSupPr>
                          <m:ctrlPr>
                            <a:rPr lang="en-US" altLang="zh-CN" b="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altLang="zh-CN" b="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𝐻</m:t>
                          </m:r>
                        </m:e>
                        <m:sup>
                          <m:r>
                            <a:rPr lang="en-US" altLang="zh-CN" b="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  <m:r>
                        <a:rPr lang="en-US" altLang="zh-CN" b="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−</m:t>
                      </m:r>
                      <m:sSup>
                        <m:sSupPr>
                          <m:ctrlPr>
                            <a:rPr lang="en-US" altLang="zh-CN" b="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altLang="zh-CN" b="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h</m:t>
                          </m:r>
                        </m:e>
                        <m:sup>
                          <m:r>
                            <a:rPr lang="en-US" altLang="zh-CN" b="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  <m:r>
                        <a:rPr lang="en-US" altLang="zh-CN" b="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)</m:t>
                      </m:r>
                    </m:den>
                  </m:f>
                  <m:func>
                    <m:funcPr>
                      <m:ctrlPr>
                        <a:rPr lang="en-US" altLang="zh-CN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lang="en-US" altLang="zh-CN" b="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ln</m:t>
                      </m:r>
                    </m:fName>
                    <m:e>
                      <m:f>
                        <m:fPr>
                          <m:ctrlPr>
                            <a:rPr lang="en-US" altLang="zh-CN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altLang="zh-CN" b="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𝑅</m:t>
                          </m:r>
                        </m:num>
                        <m:den>
                          <m:r>
                            <a:rPr lang="en-US" altLang="zh-CN" b="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𝑟</m:t>
                          </m:r>
                        </m:den>
                      </m:f>
                    </m:e>
                  </m:func>
                </m:oMath>
              </a14:m>
              <a:r>
                <a:rPr lang="zh-CN" altLang="en-US">
                  <a:latin typeface="+mn-lt"/>
                </a:rPr>
                <a:t> </a:t>
              </a:r>
              <a:r>
                <a:rPr lang="en-US" altLang="zh-CN">
                  <a:latin typeface="+mn-lt"/>
                </a:rPr>
                <a:t>,    </a:t>
              </a:r>
              <a14:m>
                <m:oMath xmlns:m="http://schemas.openxmlformats.org/officeDocument/2006/math">
                  <m:r>
                    <a:rPr lang="en-US" altLang="zh-CN" sz="1100" b="0" i="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zh-CN" altLang="zh-CN" sz="1100" i="1">
                      <a:effectLst/>
                      <a:latin typeface="+mn-lt"/>
                      <a:ea typeface="+mn-ea"/>
                      <a:cs typeface="+mn-cs"/>
                    </a:rPr>
                    <m:t>𝑅</m:t>
                  </m:r>
                  <m:r>
                    <a:rPr lang="zh-CN" altLang="zh-CN" sz="1100" i="1">
                      <a:effectLst/>
                      <a:latin typeface="+mn-lt"/>
                      <a:ea typeface="+mn-ea"/>
                      <a:cs typeface="+mn-cs"/>
                    </a:rPr>
                    <m:t>=</m:t>
                  </m:r>
                  <m:r>
                    <a:rPr lang="en-US" altLang="zh-CN" sz="1100" b="0" i="1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2</m:t>
                  </m:r>
                  <m:r>
                    <a:rPr lang="en-US" altLang="zh-CN" sz="1100" b="0" i="1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𝑠</m:t>
                  </m:r>
                  <m:rad>
                    <m:radPr>
                      <m:degHide m:val="on"/>
                      <m:ctrlPr>
                        <a:rPr lang="zh-CN" altLang="zh-CN" sz="1100" i="1"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r>
                        <a:rPr lang="en-US" altLang="zh-CN" sz="1100" b="0" i="1"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𝐻</m:t>
                      </m:r>
                      <m:r>
                        <a:rPr lang="zh-CN" altLang="zh-CN" sz="1100" i="1">
                          <a:effectLst/>
                          <a:latin typeface="+mn-lt"/>
                          <a:ea typeface="+mn-ea"/>
                          <a:cs typeface="+mn-cs"/>
                        </a:rPr>
                        <m:t>𝐾</m:t>
                      </m:r>
                    </m:e>
                  </m:rad>
                </m:oMath>
              </a14:m>
              <a:endParaRPr lang="zh-CN" altLang="zh-CN">
                <a:effectLst/>
              </a:endParaRPr>
            </a:p>
          </xdr:txBody>
        </xdr:sp>
      </mc:Choice>
      <mc:Fallback>
        <xdr:sp macro="" textlink="">
          <xdr:nvSpPr>
            <xdr:cNvPr id="4" name="Object 15">
              <a:extLst>
                <a:ext uri="{FF2B5EF4-FFF2-40B4-BE49-F238E27FC236}">
                  <a16:creationId xmlns:a16="http://schemas.microsoft.com/office/drawing/2014/main" id="{FC2B50D1-2005-439C-9C3F-8ADB52EE1E9A}"/>
                </a:ext>
              </a:extLst>
            </xdr:cNvPr>
            <xdr:cNvSpPr txBox="1"/>
          </xdr:nvSpPr>
          <xdr:spPr>
            <a:xfrm>
              <a:off x="4464050" y="2800350"/>
              <a:ext cx="2142446" cy="35548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CN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𝐾</a:t>
              </a:r>
              <a:r>
                <a:rPr lang="zh-CN" altLang="en-US" i="0">
                  <a:solidFill>
                    <a:srgbClr val="000000"/>
                  </a:solidFill>
                  <a:latin typeface="+mn-lt"/>
                </a:rPr>
                <a:t>=</a:t>
              </a:r>
              <a:r>
                <a:rPr lang="en-US" altLang="zh-CN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𝑄/(</a:t>
              </a:r>
              <a:r>
                <a:rPr lang="zh-CN" altLang="en-US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𝜋</a:t>
              </a:r>
              <a:r>
                <a:rPr lang="en-US" altLang="zh-CN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(𝐻^2−ℎ^2))  ln⁡〖𝑅/𝑟〗</a:t>
              </a:r>
              <a:r>
                <a:rPr lang="zh-CN" altLang="en-US">
                  <a:latin typeface="+mn-lt"/>
                </a:rPr>
                <a:t> </a:t>
              </a:r>
              <a:r>
                <a:rPr lang="en-US" altLang="zh-CN">
                  <a:latin typeface="+mn-lt"/>
                </a:rPr>
                <a:t>,    </a:t>
              </a:r>
              <a:r>
                <a:rPr lang="en-US" altLang="zh-CN" sz="1100" b="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zh-CN" altLang="zh-CN" sz="1100" i="0">
                  <a:effectLst/>
                  <a:latin typeface="+mn-lt"/>
                  <a:ea typeface="+mn-ea"/>
                  <a:cs typeface="+mn-cs"/>
                </a:rPr>
                <a:t>𝑅=</a:t>
              </a:r>
              <a:r>
                <a:rPr lang="en-US" altLang="zh-CN" sz="1100" b="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2𝑠</a:t>
              </a:r>
              <a:r>
                <a:rPr lang="zh-CN" altLang="zh-CN" sz="1100" i="0">
                  <a:effectLst/>
                  <a:latin typeface="+mn-lt"/>
                  <a:ea typeface="+mn-ea"/>
                  <a:cs typeface="+mn-cs"/>
                </a:rPr>
                <a:t>√</a:t>
              </a:r>
              <a:r>
                <a:rPr lang="en-US" altLang="zh-CN" sz="1100" b="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𝐻</a:t>
              </a:r>
              <a:r>
                <a:rPr lang="zh-CN" altLang="zh-CN" sz="1100" i="0">
                  <a:effectLst/>
                  <a:latin typeface="+mn-lt"/>
                  <a:ea typeface="+mn-ea"/>
                  <a:cs typeface="+mn-cs"/>
                </a:rPr>
                <a:t>𝐾</a:t>
              </a:r>
              <a:endParaRPr lang="zh-CN" altLang="zh-CN">
                <a:effectLst/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zoomScaleNormal="100" workbookViewId="0">
      <selection activeCell="F17" sqref="F17"/>
    </sheetView>
  </sheetViews>
  <sheetFormatPr defaultRowHeight="15" x14ac:dyDescent="0.25"/>
  <cols>
    <col min="1" max="1" width="12.5" bestFit="1" customWidth="1"/>
    <col min="2" max="2" width="8.9140625" bestFit="1" customWidth="1"/>
    <col min="3" max="3" width="6.6640625" bestFit="1" customWidth="1"/>
    <col min="4" max="4" width="13.08203125" bestFit="1" customWidth="1"/>
    <col min="5" max="5" width="12" bestFit="1" customWidth="1"/>
    <col min="6" max="6" width="19.25" customWidth="1"/>
    <col min="7" max="7" width="16.6640625" bestFit="1" customWidth="1"/>
    <col min="8" max="8" width="6.6640625" bestFit="1" customWidth="1"/>
  </cols>
  <sheetData>
    <row r="1" spans="1:9" ht="19" x14ac:dyDescent="0.45">
      <c r="A1" s="3" t="s">
        <v>6</v>
      </c>
      <c r="B1" s="3"/>
      <c r="C1" s="3"/>
      <c r="D1" s="3"/>
      <c r="E1" s="3"/>
      <c r="F1" s="3"/>
      <c r="G1" s="3"/>
      <c r="H1" s="3"/>
    </row>
    <row r="2" spans="1:9" ht="16" x14ac:dyDescent="0.35">
      <c r="A2" s="2"/>
      <c r="B2" s="2"/>
      <c r="C2" s="2"/>
      <c r="D2" s="2"/>
      <c r="E2" s="2"/>
      <c r="F2" s="2"/>
      <c r="G2" s="2"/>
      <c r="H2" s="2"/>
    </row>
    <row r="3" spans="1:9" ht="30.5" customHeight="1" x14ac:dyDescent="0.25">
      <c r="A3" s="10" t="s">
        <v>0</v>
      </c>
      <c r="B3" s="6" t="s">
        <v>3</v>
      </c>
      <c r="C3" s="5"/>
      <c r="D3" s="5"/>
      <c r="E3" s="5"/>
      <c r="F3" s="5"/>
      <c r="G3" s="5"/>
      <c r="H3" s="1"/>
    </row>
    <row r="4" spans="1:9" ht="30.5" customHeight="1" x14ac:dyDescent="0.25">
      <c r="A4" s="10" t="s">
        <v>1</v>
      </c>
      <c r="B4" s="7" t="s">
        <v>4</v>
      </c>
      <c r="C4" s="5"/>
      <c r="D4" s="5"/>
      <c r="E4" s="5"/>
      <c r="F4" s="5"/>
      <c r="G4" s="5"/>
      <c r="H4" s="1"/>
    </row>
    <row r="5" spans="1:9" ht="30.5" x14ac:dyDescent="0.25">
      <c r="A5" s="11" t="s">
        <v>2</v>
      </c>
      <c r="B5" s="15" t="s">
        <v>16</v>
      </c>
      <c r="C5" s="16" t="s">
        <v>11</v>
      </c>
      <c r="D5" s="16" t="s">
        <v>12</v>
      </c>
      <c r="E5" s="16" t="s">
        <v>13</v>
      </c>
      <c r="F5" s="16" t="s">
        <v>14</v>
      </c>
      <c r="G5" s="16" t="s">
        <v>15</v>
      </c>
      <c r="H5" s="28" t="s">
        <v>9</v>
      </c>
    </row>
    <row r="6" spans="1:9" ht="15.75" customHeight="1" x14ac:dyDescent="0.25">
      <c r="A6" s="12"/>
      <c r="B6" s="22">
        <v>500</v>
      </c>
      <c r="C6" s="23">
        <v>25.8</v>
      </c>
      <c r="D6" s="23">
        <v>30</v>
      </c>
      <c r="E6" s="20">
        <v>7.4999999999999997E-2</v>
      </c>
      <c r="F6" s="21">
        <v>200</v>
      </c>
      <c r="G6" s="20">
        <v>1</v>
      </c>
      <c r="H6" s="29" t="s">
        <v>10</v>
      </c>
    </row>
    <row r="7" spans="1:9" ht="14.25" customHeight="1" x14ac:dyDescent="0.25">
      <c r="A7" s="13" t="s">
        <v>8</v>
      </c>
      <c r="B7" s="17">
        <f>B$6</f>
        <v>500</v>
      </c>
      <c r="C7" s="18">
        <f>C$6</f>
        <v>25.8</v>
      </c>
      <c r="D7" s="18">
        <f>D$6</f>
        <v>30</v>
      </c>
      <c r="E7" s="19">
        <f>E$6</f>
        <v>7.4999999999999997E-2</v>
      </c>
      <c r="F7" s="19">
        <f>10*C7*SQRT(G7)</f>
        <v>232.3506198773716</v>
      </c>
      <c r="G7" s="19">
        <f>B6/(2*PI()*C6*D6)*LN(F6/E6)</f>
        <v>0.81105117717383013</v>
      </c>
      <c r="H7" s="30"/>
    </row>
    <row r="8" spans="1:9" x14ac:dyDescent="0.25">
      <c r="A8" s="8"/>
      <c r="B8" s="17">
        <f t="shared" ref="B8:E16" si="0">B$6</f>
        <v>500</v>
      </c>
      <c r="C8" s="18">
        <f t="shared" si="0"/>
        <v>25.8</v>
      </c>
      <c r="D8" s="18">
        <f t="shared" si="0"/>
        <v>30</v>
      </c>
      <c r="E8" s="19">
        <f t="shared" si="0"/>
        <v>7.4999999999999997E-2</v>
      </c>
      <c r="F8" s="19">
        <f t="shared" ref="F8:F16" si="1">10*C8*SQRT(G8)</f>
        <v>234.5482508084886</v>
      </c>
      <c r="G8" s="19">
        <f t="shared" ref="G8:G16" si="2">B7/(2*PI()*C7*D7)*LN(F7/E7)</f>
        <v>0.82646598697977403</v>
      </c>
      <c r="H8" s="31"/>
    </row>
    <row r="9" spans="1:9" x14ac:dyDescent="0.25">
      <c r="A9" s="8"/>
      <c r="B9" s="17">
        <f t="shared" si="0"/>
        <v>500</v>
      </c>
      <c r="C9" s="18">
        <f t="shared" si="0"/>
        <v>25.8</v>
      </c>
      <c r="D9" s="18">
        <f t="shared" si="0"/>
        <v>30</v>
      </c>
      <c r="E9" s="19">
        <f t="shared" si="0"/>
        <v>7.4999999999999997E-2</v>
      </c>
      <c r="F9" s="19">
        <f t="shared" si="1"/>
        <v>234.68554888031144</v>
      </c>
      <c r="G9" s="19">
        <f t="shared" si="2"/>
        <v>0.82743385092922672</v>
      </c>
      <c r="H9" s="31"/>
    </row>
    <row r="10" spans="1:9" x14ac:dyDescent="0.25">
      <c r="A10" s="8"/>
      <c r="B10" s="17">
        <f t="shared" si="0"/>
        <v>500</v>
      </c>
      <c r="C10" s="18">
        <f t="shared" si="0"/>
        <v>25.8</v>
      </c>
      <c r="D10" s="18">
        <f t="shared" si="0"/>
        <v>30</v>
      </c>
      <c r="E10" s="19">
        <f t="shared" si="0"/>
        <v>7.4999999999999997E-2</v>
      </c>
      <c r="F10" s="19">
        <f t="shared" si="1"/>
        <v>234.69408124692183</v>
      </c>
      <c r="G10" s="19">
        <f t="shared" si="2"/>
        <v>0.82749401737180373</v>
      </c>
      <c r="H10" s="31"/>
    </row>
    <row r="11" spans="1:9" x14ac:dyDescent="0.25">
      <c r="A11" s="8"/>
      <c r="B11" s="17">
        <f t="shared" si="0"/>
        <v>500</v>
      </c>
      <c r="C11" s="18">
        <f t="shared" si="0"/>
        <v>25.8</v>
      </c>
      <c r="D11" s="18">
        <f t="shared" si="0"/>
        <v>30</v>
      </c>
      <c r="E11" s="19">
        <f t="shared" si="0"/>
        <v>7.4999999999999997E-2</v>
      </c>
      <c r="F11" s="19">
        <f t="shared" si="1"/>
        <v>234.69461131448469</v>
      </c>
      <c r="G11" s="19">
        <f t="shared" si="2"/>
        <v>0.82749775524393132</v>
      </c>
      <c r="H11" s="31"/>
    </row>
    <row r="12" spans="1:9" x14ac:dyDescent="0.25">
      <c r="A12" s="8"/>
      <c r="B12" s="17">
        <f t="shared" si="0"/>
        <v>500</v>
      </c>
      <c r="C12" s="18">
        <f t="shared" si="0"/>
        <v>25.8</v>
      </c>
      <c r="D12" s="18">
        <f t="shared" si="0"/>
        <v>30</v>
      </c>
      <c r="E12" s="19">
        <f t="shared" si="0"/>
        <v>7.4999999999999997E-2</v>
      </c>
      <c r="F12" s="19">
        <f t="shared" si="1"/>
        <v>234.69464424390185</v>
      </c>
      <c r="G12" s="19">
        <f t="shared" si="2"/>
        <v>0.82749798745225123</v>
      </c>
      <c r="H12" s="31"/>
    </row>
    <row r="13" spans="1:9" x14ac:dyDescent="0.25">
      <c r="A13" s="8"/>
      <c r="B13" s="17">
        <f t="shared" si="0"/>
        <v>500</v>
      </c>
      <c r="C13" s="18">
        <f t="shared" si="0"/>
        <v>25.8</v>
      </c>
      <c r="D13" s="18">
        <f t="shared" si="0"/>
        <v>30</v>
      </c>
      <c r="E13" s="19">
        <f t="shared" si="0"/>
        <v>7.4999999999999997E-2</v>
      </c>
      <c r="F13" s="19">
        <f t="shared" si="1"/>
        <v>234.6946462895753</v>
      </c>
      <c r="G13" s="19">
        <f t="shared" si="2"/>
        <v>0.82749800187772471</v>
      </c>
      <c r="H13" s="31"/>
      <c r="I13" s="4"/>
    </row>
    <row r="14" spans="1:9" x14ac:dyDescent="0.25">
      <c r="A14" s="8"/>
      <c r="B14" s="17">
        <f t="shared" si="0"/>
        <v>500</v>
      </c>
      <c r="C14" s="18">
        <f t="shared" si="0"/>
        <v>25.8</v>
      </c>
      <c r="D14" s="18">
        <f t="shared" si="0"/>
        <v>30</v>
      </c>
      <c r="E14" s="19">
        <f t="shared" si="0"/>
        <v>7.4999999999999997E-2</v>
      </c>
      <c r="F14" s="19">
        <f t="shared" si="1"/>
        <v>234.6946464166586</v>
      </c>
      <c r="G14" s="19">
        <f t="shared" si="2"/>
        <v>0.82749800277387786</v>
      </c>
      <c r="H14" s="31"/>
      <c r="I14" s="4"/>
    </row>
    <row r="15" spans="1:9" x14ac:dyDescent="0.25">
      <c r="A15" s="8"/>
      <c r="B15" s="17">
        <f t="shared" si="0"/>
        <v>500</v>
      </c>
      <c r="C15" s="18">
        <f t="shared" si="0"/>
        <v>25.8</v>
      </c>
      <c r="D15" s="18">
        <f t="shared" si="0"/>
        <v>30</v>
      </c>
      <c r="E15" s="19">
        <f t="shared" si="0"/>
        <v>7.4999999999999997E-2</v>
      </c>
      <c r="F15" s="19">
        <f t="shared" si="1"/>
        <v>234.69464642455338</v>
      </c>
      <c r="G15" s="19">
        <f t="shared" si="2"/>
        <v>0.82749800282954955</v>
      </c>
      <c r="H15" s="32"/>
    </row>
    <row r="16" spans="1:9" x14ac:dyDescent="0.25">
      <c r="A16" s="14"/>
      <c r="B16" s="24">
        <f t="shared" si="0"/>
        <v>500</v>
      </c>
      <c r="C16" s="25">
        <f t="shared" si="0"/>
        <v>25.8</v>
      </c>
      <c r="D16" s="25">
        <f t="shared" si="0"/>
        <v>30</v>
      </c>
      <c r="E16" s="26">
        <f t="shared" si="0"/>
        <v>7.4999999999999997E-2</v>
      </c>
      <c r="F16" s="19">
        <f t="shared" si="1"/>
        <v>234.69464642504386</v>
      </c>
      <c r="G16" s="19">
        <f t="shared" si="2"/>
        <v>0.82749800283300801</v>
      </c>
      <c r="H16" s="32"/>
    </row>
    <row r="17" spans="1:8" ht="28.5" customHeight="1" x14ac:dyDescent="0.25">
      <c r="A17" s="10" t="s">
        <v>5</v>
      </c>
      <c r="B17" s="33" t="s">
        <v>17</v>
      </c>
      <c r="C17" s="33"/>
      <c r="D17" s="33"/>
      <c r="E17" s="34">
        <f>G16</f>
        <v>0.82749800283300801</v>
      </c>
      <c r="F17" s="36" t="s">
        <v>18</v>
      </c>
      <c r="G17" s="35">
        <f>F16</f>
        <v>234.69464642504386</v>
      </c>
      <c r="H17" s="35"/>
    </row>
    <row r="18" spans="1:8" x14ac:dyDescent="0.25">
      <c r="H18" s="27"/>
    </row>
  </sheetData>
  <mergeCells count="8">
    <mergeCell ref="B3:H3"/>
    <mergeCell ref="B4:H4"/>
    <mergeCell ref="A1:H1"/>
    <mergeCell ref="A5:A6"/>
    <mergeCell ref="A7:A16"/>
    <mergeCell ref="A2:H2"/>
    <mergeCell ref="B17:D17"/>
    <mergeCell ref="G17:H17"/>
  </mergeCells>
  <phoneticPr fontId="1" type="noConversion"/>
  <printOptions horizontalCentered="1"/>
  <pageMargins left="0.59055118110236227" right="0.59055118110236227" top="0.78740157480314965" bottom="0.59055118110236227" header="0.51181102362204722" footer="0.51181102362204722"/>
  <pageSetup paperSize="13" orientation="landscape" horizontalDpi="180" verticalDpi="18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activeCell="F17" sqref="F17:G17"/>
    </sheetView>
  </sheetViews>
  <sheetFormatPr defaultRowHeight="15" x14ac:dyDescent="0.25"/>
  <cols>
    <col min="1" max="1" width="13.25" bestFit="1" customWidth="1"/>
    <col min="2" max="2" width="8.5" bestFit="1" customWidth="1"/>
    <col min="3" max="3" width="6.6640625" bestFit="1" customWidth="1"/>
    <col min="4" max="4" width="16.25" bestFit="1" customWidth="1"/>
    <col min="5" max="5" width="19.33203125" bestFit="1" customWidth="1"/>
    <col min="6" max="6" width="12.33203125" bestFit="1" customWidth="1"/>
    <col min="7" max="7" width="14.33203125" bestFit="1" customWidth="1"/>
    <col min="8" max="8" width="16.25" bestFit="1" customWidth="1"/>
  </cols>
  <sheetData>
    <row r="1" spans="1:9" ht="19" x14ac:dyDescent="0.25">
      <c r="A1" s="40" t="s">
        <v>6</v>
      </c>
      <c r="B1" s="40"/>
      <c r="C1" s="40"/>
      <c r="D1" s="40"/>
      <c r="E1" s="40"/>
      <c r="F1" s="40"/>
      <c r="G1" s="40"/>
      <c r="H1" s="40"/>
      <c r="I1" s="40"/>
    </row>
    <row r="2" spans="1:9" ht="16" x14ac:dyDescent="0.35">
      <c r="A2" s="37"/>
      <c r="B2" s="52"/>
      <c r="C2" s="52"/>
      <c r="D2" s="52"/>
      <c r="E2" s="52"/>
      <c r="F2" s="52"/>
      <c r="G2" s="52"/>
      <c r="H2" s="52"/>
      <c r="I2" s="52"/>
    </row>
    <row r="3" spans="1:9" ht="30.5" customHeight="1" x14ac:dyDescent="0.25">
      <c r="A3" s="10" t="s">
        <v>0</v>
      </c>
      <c r="B3" s="48" t="s">
        <v>7</v>
      </c>
      <c r="C3" s="49"/>
      <c r="D3" s="49"/>
      <c r="E3" s="49"/>
      <c r="F3" s="49"/>
      <c r="G3" s="49"/>
      <c r="H3" s="49"/>
      <c r="I3" s="49"/>
    </row>
    <row r="4" spans="1:9" ht="30.5" customHeight="1" x14ac:dyDescent="0.25">
      <c r="A4" s="9" t="s">
        <v>1</v>
      </c>
      <c r="B4" s="38"/>
      <c r="C4" s="39"/>
      <c r="D4" s="39"/>
      <c r="E4" s="39"/>
      <c r="F4" s="39"/>
      <c r="G4" s="39"/>
      <c r="H4" s="39"/>
      <c r="I4" s="39"/>
    </row>
    <row r="5" spans="1:9" ht="30.5" customHeight="1" x14ac:dyDescent="0.25">
      <c r="A5" s="43" t="s">
        <v>2</v>
      </c>
      <c r="B5" s="15" t="s">
        <v>16</v>
      </c>
      <c r="C5" s="16" t="s">
        <v>11</v>
      </c>
      <c r="D5" s="16" t="s">
        <v>21</v>
      </c>
      <c r="E5" s="16" t="s">
        <v>20</v>
      </c>
      <c r="F5" s="16" t="s">
        <v>13</v>
      </c>
      <c r="G5" s="16" t="s">
        <v>14</v>
      </c>
      <c r="H5" s="16" t="s">
        <v>15</v>
      </c>
      <c r="I5" s="28" t="s">
        <v>9</v>
      </c>
    </row>
    <row r="6" spans="1:9" x14ac:dyDescent="0.25">
      <c r="A6" s="44"/>
      <c r="B6" s="22">
        <v>2000</v>
      </c>
      <c r="C6" s="23">
        <v>4.32</v>
      </c>
      <c r="D6" s="41">
        <v>15.4</v>
      </c>
      <c r="E6" s="41">
        <v>11.08</v>
      </c>
      <c r="F6" s="20">
        <v>7.2999999999999995E-2</v>
      </c>
      <c r="G6" s="20">
        <v>200</v>
      </c>
      <c r="H6" s="20">
        <v>1</v>
      </c>
      <c r="I6" s="29" t="s">
        <v>10</v>
      </c>
    </row>
    <row r="7" spans="1:9" ht="17" customHeight="1" x14ac:dyDescent="0.25">
      <c r="A7" s="45" t="s">
        <v>19</v>
      </c>
      <c r="B7" s="42">
        <f>B$6</f>
        <v>2000</v>
      </c>
      <c r="C7" s="42">
        <f t="shared" ref="C7:F16" si="0">C$6</f>
        <v>4.32</v>
      </c>
      <c r="D7" s="42">
        <f t="shared" si="0"/>
        <v>15.4</v>
      </c>
      <c r="E7" s="42">
        <f t="shared" si="0"/>
        <v>11.08</v>
      </c>
      <c r="F7" s="19">
        <f t="shared" si="0"/>
        <v>7.2999999999999995E-2</v>
      </c>
      <c r="G7" s="19">
        <f>2*C7*SQRT(D7*H7)</f>
        <v>225.03785662731036</v>
      </c>
      <c r="H7" s="19">
        <f>B6/(PI()*(D6*D6-E6*E6))*LN(G6/F6)</f>
        <v>44.051729085572546</v>
      </c>
      <c r="I7" s="50"/>
    </row>
    <row r="8" spans="1:9" ht="16.5" customHeight="1" x14ac:dyDescent="0.25">
      <c r="A8" s="46"/>
      <c r="B8" s="42">
        <f t="shared" ref="B8:B16" si="1">B$6</f>
        <v>2000</v>
      </c>
      <c r="C8" s="42">
        <f t="shared" si="0"/>
        <v>4.32</v>
      </c>
      <c r="D8" s="42">
        <f t="shared" si="0"/>
        <v>15.4</v>
      </c>
      <c r="E8" s="42">
        <f t="shared" si="0"/>
        <v>11.08</v>
      </c>
      <c r="F8" s="19">
        <f t="shared" si="0"/>
        <v>7.2999999999999995E-2</v>
      </c>
      <c r="G8" s="19">
        <f t="shared" ref="G8:G16" si="2">2*C8*SQRT(D8*H8)</f>
        <v>226.70831153515968</v>
      </c>
      <c r="H8" s="19">
        <f>B7/(PI()*(D7*D7-E7*E7))*LN(G7/F7)</f>
        <v>44.708147912173814</v>
      </c>
      <c r="I8" s="50"/>
    </row>
    <row r="9" spans="1:9" ht="16.5" customHeight="1" x14ac:dyDescent="0.25">
      <c r="A9" s="46"/>
      <c r="B9" s="42">
        <f t="shared" si="1"/>
        <v>2000</v>
      </c>
      <c r="C9" s="42">
        <f t="shared" si="0"/>
        <v>4.32</v>
      </c>
      <c r="D9" s="42">
        <f t="shared" si="0"/>
        <v>15.4</v>
      </c>
      <c r="E9" s="42">
        <f t="shared" si="0"/>
        <v>11.08</v>
      </c>
      <c r="F9" s="19">
        <f t="shared" si="0"/>
        <v>7.2999999999999995E-2</v>
      </c>
      <c r="G9" s="19">
        <f t="shared" si="2"/>
        <v>226.81263968383394</v>
      </c>
      <c r="H9" s="19">
        <f t="shared" ref="H9:H16" si="3">B8/(PI()*(D8*D8-E8*E8))*LN(G8/F8)</f>
        <v>44.749305569776688</v>
      </c>
      <c r="I9" s="50"/>
    </row>
    <row r="10" spans="1:9" ht="16.5" customHeight="1" x14ac:dyDescent="0.25">
      <c r="A10" s="46"/>
      <c r="B10" s="42">
        <f t="shared" si="1"/>
        <v>2000</v>
      </c>
      <c r="C10" s="42">
        <f t="shared" si="0"/>
        <v>4.32</v>
      </c>
      <c r="D10" s="42">
        <f t="shared" si="0"/>
        <v>15.4</v>
      </c>
      <c r="E10" s="42">
        <f t="shared" si="0"/>
        <v>11.08</v>
      </c>
      <c r="F10" s="19">
        <f t="shared" si="0"/>
        <v>7.2999999999999995E-2</v>
      </c>
      <c r="G10" s="19">
        <f t="shared" si="2"/>
        <v>226.8191283777719</v>
      </c>
      <c r="H10" s="19">
        <f t="shared" si="3"/>
        <v>44.751865997639818</v>
      </c>
      <c r="I10" s="50"/>
    </row>
    <row r="11" spans="1:9" ht="16.5" customHeight="1" x14ac:dyDescent="0.25">
      <c r="A11" s="46"/>
      <c r="B11" s="42">
        <f t="shared" si="1"/>
        <v>2000</v>
      </c>
      <c r="C11" s="42">
        <f t="shared" si="0"/>
        <v>4.32</v>
      </c>
      <c r="D11" s="42">
        <f t="shared" si="0"/>
        <v>15.4</v>
      </c>
      <c r="E11" s="42">
        <f t="shared" si="0"/>
        <v>11.08</v>
      </c>
      <c r="F11" s="19">
        <f t="shared" si="0"/>
        <v>7.2999999999999995E-2</v>
      </c>
      <c r="G11" s="19">
        <f t="shared" si="2"/>
        <v>226.81953183766262</v>
      </c>
      <c r="H11" s="19">
        <f t="shared" si="3"/>
        <v>44.752025204662196</v>
      </c>
      <c r="I11" s="50"/>
    </row>
    <row r="12" spans="1:9" ht="16.5" customHeight="1" x14ac:dyDescent="0.25">
      <c r="A12" s="46"/>
      <c r="B12" s="42">
        <f t="shared" si="1"/>
        <v>2000</v>
      </c>
      <c r="C12" s="42">
        <f t="shared" si="0"/>
        <v>4.32</v>
      </c>
      <c r="D12" s="42">
        <f t="shared" si="0"/>
        <v>15.4</v>
      </c>
      <c r="E12" s="42">
        <f t="shared" si="0"/>
        <v>11.08</v>
      </c>
      <c r="F12" s="19">
        <f t="shared" si="0"/>
        <v>7.2999999999999995E-2</v>
      </c>
      <c r="G12" s="19">
        <f t="shared" si="2"/>
        <v>226.81955692395243</v>
      </c>
      <c r="H12" s="19">
        <f t="shared" si="3"/>
        <v>44.752035103830281</v>
      </c>
      <c r="I12" s="50"/>
    </row>
    <row r="13" spans="1:9" ht="16.5" customHeight="1" x14ac:dyDescent="0.25">
      <c r="A13" s="46"/>
      <c r="B13" s="42">
        <f t="shared" si="1"/>
        <v>2000</v>
      </c>
      <c r="C13" s="42">
        <f t="shared" si="0"/>
        <v>4.32</v>
      </c>
      <c r="D13" s="42">
        <f t="shared" si="0"/>
        <v>15.4</v>
      </c>
      <c r="E13" s="42">
        <f t="shared" si="0"/>
        <v>11.08</v>
      </c>
      <c r="F13" s="19">
        <f t="shared" si="0"/>
        <v>7.2999999999999995E-2</v>
      </c>
      <c r="G13" s="19">
        <f t="shared" si="2"/>
        <v>226.81955848376373</v>
      </c>
      <c r="H13" s="19">
        <f t="shared" si="3"/>
        <v>44.752035719339204</v>
      </c>
      <c r="I13" s="50"/>
    </row>
    <row r="14" spans="1:9" ht="16.5" customHeight="1" x14ac:dyDescent="0.25">
      <c r="A14" s="46"/>
      <c r="B14" s="42">
        <f t="shared" si="1"/>
        <v>2000</v>
      </c>
      <c r="C14" s="42">
        <f t="shared" si="0"/>
        <v>4.32</v>
      </c>
      <c r="D14" s="42">
        <f t="shared" si="0"/>
        <v>15.4</v>
      </c>
      <c r="E14" s="42">
        <f t="shared" si="0"/>
        <v>11.08</v>
      </c>
      <c r="F14" s="19">
        <f t="shared" si="0"/>
        <v>7.2999999999999995E-2</v>
      </c>
      <c r="G14" s="19">
        <f t="shared" si="2"/>
        <v>226.81955858074946</v>
      </c>
      <c r="H14" s="19">
        <f t="shared" si="3"/>
        <v>44.752035757610223</v>
      </c>
      <c r="I14" s="50"/>
    </row>
    <row r="15" spans="1:9" ht="16.5" customHeight="1" x14ac:dyDescent="0.25">
      <c r="A15" s="46"/>
      <c r="B15" s="42">
        <f t="shared" si="1"/>
        <v>2000</v>
      </c>
      <c r="C15" s="42">
        <f t="shared" si="0"/>
        <v>4.32</v>
      </c>
      <c r="D15" s="42">
        <f t="shared" si="0"/>
        <v>15.4</v>
      </c>
      <c r="E15" s="42">
        <f t="shared" si="0"/>
        <v>11.08</v>
      </c>
      <c r="F15" s="19">
        <f t="shared" si="0"/>
        <v>7.2999999999999995E-2</v>
      </c>
      <c r="G15" s="19">
        <f t="shared" si="2"/>
        <v>226.81955858677978</v>
      </c>
      <c r="H15" s="19">
        <f t="shared" si="3"/>
        <v>44.752035759989823</v>
      </c>
      <c r="I15" s="50"/>
    </row>
    <row r="16" spans="1:9" ht="16.5" customHeight="1" x14ac:dyDescent="0.25">
      <c r="A16" s="47"/>
      <c r="B16" s="42">
        <f t="shared" si="1"/>
        <v>2000</v>
      </c>
      <c r="C16" s="42">
        <f t="shared" si="0"/>
        <v>4.32</v>
      </c>
      <c r="D16" s="42">
        <f t="shared" si="0"/>
        <v>15.4</v>
      </c>
      <c r="E16" s="42">
        <f t="shared" si="0"/>
        <v>11.08</v>
      </c>
      <c r="F16" s="19">
        <f t="shared" si="0"/>
        <v>7.2999999999999995E-2</v>
      </c>
      <c r="G16" s="19">
        <f t="shared" si="2"/>
        <v>226.81955858715477</v>
      </c>
      <c r="H16" s="19">
        <f t="shared" si="3"/>
        <v>44.752035760137787</v>
      </c>
      <c r="I16" s="50"/>
    </row>
    <row r="17" spans="1:9" ht="16.5" x14ac:dyDescent="0.25">
      <c r="A17" s="10" t="s">
        <v>5</v>
      </c>
      <c r="B17" s="51" t="s">
        <v>17</v>
      </c>
      <c r="C17" s="33"/>
      <c r="D17" s="33"/>
      <c r="E17" s="34">
        <f>H16</f>
        <v>44.752035760137787</v>
      </c>
      <c r="F17" s="51" t="s">
        <v>18</v>
      </c>
      <c r="G17" s="33"/>
      <c r="H17" s="35">
        <f>G16</f>
        <v>226.81955858715477</v>
      </c>
      <c r="I17" s="35"/>
    </row>
  </sheetData>
  <mergeCells count="9">
    <mergeCell ref="A1:I1"/>
    <mergeCell ref="B17:D17"/>
    <mergeCell ref="H17:I17"/>
    <mergeCell ref="B2:I2"/>
    <mergeCell ref="B3:I3"/>
    <mergeCell ref="B4:I4"/>
    <mergeCell ref="A5:A6"/>
    <mergeCell ref="F17:G17"/>
    <mergeCell ref="A7:A16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180" verticalDpi="18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承压水井</vt:lpstr>
      <vt:lpstr>潜水井</vt:lpstr>
      <vt:lpstr>Sheet3</vt:lpstr>
    </vt:vector>
  </TitlesOfParts>
  <Company>铁四院一处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汪继锋</dc:creator>
  <cp:lastModifiedBy>杨国勇</cp:lastModifiedBy>
  <cp:lastPrinted>2022-11-30T04:40:43Z</cp:lastPrinted>
  <dcterms:created xsi:type="dcterms:W3CDTF">2000-09-25T00:41:38Z</dcterms:created>
  <dcterms:modified xsi:type="dcterms:W3CDTF">2022-11-30T04:40:59Z</dcterms:modified>
</cp:coreProperties>
</file>